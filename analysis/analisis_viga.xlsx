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_y_Conversion" sheetId="1" state="visible" r:id="rId1"/>
    <sheet xmlns:r="http://schemas.openxmlformats.org/officeDocument/2006/relationships" name="Calculos_Deflexion" sheetId="2" state="visible" r:id="rId2"/>
    <sheet xmlns:r="http://schemas.openxmlformats.org/officeDocument/2006/relationships" name="Verific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0000"/>
    <numFmt numFmtId="165" formatCode="+0.00;-0.00;0.00"/>
    <numFmt numFmtId="166" formatCode="0.00000"/>
    <numFmt numFmtId="167" formatCode="0.000"/>
    <numFmt numFmtId="168" formatCode="0.0000"/>
    <numFmt numFmtId="169" formatCode="0.00000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0" fontId="3" fillId="0" borderId="1" pivotButton="0" quotePrefix="0" xfId="0"/>
    <xf numFmtId="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11" fontId="3" fillId="3" borderId="1" applyAlignment="1" pivotButton="0" quotePrefix="0" xfId="0">
      <alignment horizontal="right"/>
    </xf>
    <xf numFmtId="4" fontId="4" fillId="3" borderId="1" applyAlignment="1" pivotButton="0" quotePrefix="0" xfId="0">
      <alignment horizontal="right"/>
    </xf>
    <xf numFmtId="0" fontId="3" fillId="3" borderId="1" pivotButton="0" quotePrefix="0" xfId="0"/>
    <xf numFmtId="0" fontId="4" fillId="0" borderId="0" pivotButton="0" quotePrefix="0" xfId="0"/>
    <xf numFmtId="0" fontId="3" fillId="0" borderId="0" pivotButton="0" quotePrefix="0" xfId="0"/>
    <xf numFmtId="1" fontId="3" fillId="0" borderId="1" applyAlignment="1" pivotButton="0" quotePrefix="0" xfId="0">
      <alignment horizontal="right"/>
    </xf>
    <xf numFmtId="3" fontId="3" fillId="4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  <xf numFmtId="2" fontId="3" fillId="4" borderId="1" applyAlignment="1" pivotButton="0" quotePrefix="0" xfId="0">
      <alignment horizontal="right"/>
    </xf>
    <xf numFmtId="165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167" fontId="4" fillId="3" borderId="1" applyAlignment="1" pivotButton="0" quotePrefix="0" xfId="0">
      <alignment horizontal="right"/>
    </xf>
    <xf numFmtId="2" fontId="4" fillId="3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0" fontId="5" fillId="3" borderId="1" pivotButton="0" quotePrefix="0" xfId="0"/>
    <xf numFmtId="11" fontId="5" fillId="3" borderId="1" pivotButton="0" quotePrefix="0" xfId="0"/>
    <xf numFmtId="11" fontId="3" fillId="0" borderId="1" pivotButton="0" quotePrefix="0" xfId="0"/>
    <xf numFmtId="168" fontId="3" fillId="0" borderId="1" pivotButton="0" quotePrefix="0" xfId="0"/>
    <xf numFmtId="169" fontId="3" fillId="0" borderId="1" pivotButton="0" quotePrefix="0" xfId="0"/>
    <xf numFmtId="4" fontId="3" fillId="0" borderId="1" pivotButton="0" quotePrefix="0" xfId="0"/>
    <xf numFmtId="166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Comparación Carga vs. Deflexión en el Centro de la Luz (L = 4.0 m)</a:t>
            </a:r>
          </a:p>
        </rich>
      </tx>
    </title>
    <plotArea>
      <scatterChart>
        <ser>
          <idx val="0"/>
          <order val="0"/>
          <tx>
            <v>Predicción Teórica Euler-Bernoulli (mm)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'Calculos_Deflexion'!$A$4:$A$12</f>
            </numRef>
          </xVal>
          <yVal>
            <numRef>
              <f>'Calculos_Deflexion'!$D$4:$D$12</f>
            </numRef>
          </yVal>
        </ser>
        <ser>
          <idx val="1"/>
          <order val="1"/>
          <tx>
            <v>Deflexión Medida (mm)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'Calculos_Deflexion'!$A$4:$A$12</f>
            </numRef>
          </xVal>
          <yVal>
            <numRef>
              <f>'Calculos_Deflexion'!$C$4:$C$12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Carga puntual aplicada, P (kN)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Deflexión en el centro, delta (mm)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6" customWidth="1" min="1" max="1"/>
    <col width="164" customWidth="1" min="2" max="2"/>
    <col width="20" customWidth="1" min="3" max="3"/>
    <col width="25" customWidth="1" min="4" max="4"/>
    <col width="21" customWidth="1" min="5" max="5"/>
    <col width="23" customWidth="1" min="6" max="6"/>
    <col width="63" customWidth="1" min="7" max="7"/>
  </cols>
  <sheetData>
    <row r="1">
      <c r="A1" s="1" t="inlineStr">
        <is>
          <t>PARÁMETROS GEOMÉTRICOS, MATERIALES Y CONVERSIÓN DE UNIDADES (SISTEMA CONSISTENTE: N, mm)</t>
        </is>
      </c>
    </row>
    <row r="2"/>
    <row r="3">
      <c r="A3" s="2" t="inlineStr">
        <is>
          <t>Parámetro</t>
        </is>
      </c>
      <c r="B3" s="2" t="inlineStr">
        <is>
          <t>Valor Original</t>
        </is>
      </c>
      <c r="C3" s="2" t="inlineStr">
        <is>
          <t>Unidad Original</t>
        </is>
      </c>
      <c r="D3" s="2" t="inlineStr">
        <is>
          <t>Factor de Conversión</t>
        </is>
      </c>
      <c r="E3" s="2" t="inlineStr">
        <is>
          <t>Valor Convertido</t>
        </is>
      </c>
      <c r="F3" s="2" t="inlineStr">
        <is>
          <t>Unidad Consistente</t>
        </is>
      </c>
      <c r="G3" s="2" t="inlineStr">
        <is>
          <t>Descripción / Fórmula Trazable</t>
        </is>
      </c>
    </row>
    <row r="4">
      <c r="A4" s="3" t="inlineStr">
        <is>
          <t>L</t>
        </is>
      </c>
      <c r="B4" s="4" t="n">
        <v>4</v>
      </c>
      <c r="C4" s="3" t="inlineStr">
        <is>
          <t>m</t>
        </is>
      </c>
      <c r="D4" s="4" t="n">
        <v>1000</v>
      </c>
      <c r="E4" s="4">
        <f>B4*D4</f>
        <v/>
      </c>
      <c r="F4" s="3" t="inlineStr">
        <is>
          <t>mm</t>
        </is>
      </c>
      <c r="G4" s="5" t="inlineStr">
        <is>
          <t>Luz entre apoyos (de parametros_viga.xlsx)</t>
        </is>
      </c>
    </row>
    <row r="5">
      <c r="A5" s="3" t="inlineStr">
        <is>
          <t>b</t>
        </is>
      </c>
      <c r="B5" s="4" t="n">
        <v>0.2</v>
      </c>
      <c r="C5" s="3" t="inlineStr">
        <is>
          <t>m</t>
        </is>
      </c>
      <c r="D5" s="4" t="n">
        <v>1000</v>
      </c>
      <c r="E5" s="4">
        <f>B5*D5</f>
        <v/>
      </c>
      <c r="F5" s="3" t="inlineStr">
        <is>
          <t>mm</t>
        </is>
      </c>
      <c r="G5" s="5" t="inlineStr">
        <is>
          <t>Ancho de la sección rectangular (de parametros_viga.xlsx)</t>
        </is>
      </c>
    </row>
    <row r="6">
      <c r="A6" s="3" t="inlineStr">
        <is>
          <t>h</t>
        </is>
      </c>
      <c r="B6" s="4" t="n">
        <v>0.4</v>
      </c>
      <c r="C6" s="3" t="inlineStr">
        <is>
          <t>m</t>
        </is>
      </c>
      <c r="D6" s="4" t="n">
        <v>1000</v>
      </c>
      <c r="E6" s="4">
        <f>B6*D6</f>
        <v/>
      </c>
      <c r="F6" s="3" t="inlineStr">
        <is>
          <t>mm</t>
        </is>
      </c>
      <c r="G6" s="5" t="inlineStr">
        <is>
          <t>Altura de la sección rectangular (de parametros_viga.xlsx)</t>
        </is>
      </c>
    </row>
    <row r="7">
      <c r="A7" s="3" t="inlineStr">
        <is>
          <t>E</t>
        </is>
      </c>
      <c r="B7" s="4" t="n">
        <v>25</v>
      </c>
      <c r="C7" s="3" t="inlineStr">
        <is>
          <t>GPa</t>
        </is>
      </c>
      <c r="D7" s="4" t="n">
        <v>1000</v>
      </c>
      <c r="E7" s="4">
        <f>B7*D7</f>
        <v/>
      </c>
      <c r="F7" s="3" t="inlineStr">
        <is>
          <t>N/mm^2 (MPa)</t>
        </is>
      </c>
      <c r="G7" s="5" t="inlineStr">
        <is>
          <t>Módulo de elasticidad (1 GPa = 1000 MPa = 1000 N/mm^2)</t>
        </is>
      </c>
    </row>
    <row r="8">
      <c r="A8" s="6" t="inlineStr">
        <is>
          <t>I</t>
        </is>
      </c>
      <c r="B8" s="7">
        <f>(B5*(B6^3))/12</f>
        <v/>
      </c>
      <c r="C8" s="8" t="inlineStr">
        <is>
          <t>m^4</t>
        </is>
      </c>
      <c r="D8" s="9" t="n">
        <v>1000000000000</v>
      </c>
      <c r="E8" s="10">
        <f>(E5*(E6^3))/12</f>
        <v/>
      </c>
      <c r="F8" s="8" t="inlineStr">
        <is>
          <t>mm^4</t>
        </is>
      </c>
      <c r="G8" s="11" t="inlineStr">
        <is>
          <t>Segundo momento de área centroidal: I = b * h^3 / 12</t>
        </is>
      </c>
    </row>
    <row r="9"/>
    <row r="10">
      <c r="A10" s="12" t="inlineStr">
        <is>
          <t>Nota de trazabilidad:</t>
        </is>
      </c>
      <c r="B10" s="13" t="inlineStr">
        <is>
          <t>Los datos de entrada provienen intactos de data/parametros_viga.xlsx. Todas las ecuaciones en la hoja Calculos_Deflexion referencian directamente la columna 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9" customWidth="1" min="3" max="3"/>
    <col width="37" customWidth="1" min="4" max="4"/>
    <col width="29" customWidth="1" min="5" max="5"/>
    <col width="28" customWidth="1" min="6" max="6"/>
    <col width="44" customWidth="1" min="7" max="7"/>
    <col width="45" customWidth="1" min="8" max="8"/>
  </cols>
  <sheetData>
    <row r="1">
      <c r="A1" s="1" t="inlineStr">
        <is>
          <t>MODELO EULER-BERNOULLI Y COMPARACIÓN CON DEFLEXIÓN MEDIDA (datos_viga.csv)</t>
        </is>
      </c>
    </row>
    <row r="2"/>
    <row r="3">
      <c r="A3" s="2" t="inlineStr">
        <is>
          <t>carga_kN (P en kN)</t>
        </is>
      </c>
      <c r="B3" s="2" t="inlineStr">
        <is>
          <t>Carga Convertida P (N)</t>
        </is>
      </c>
      <c r="C3" s="2" t="inlineStr">
        <is>
          <t>deflexion_medida_mm (mm)</t>
        </is>
      </c>
      <c r="D3" s="2" t="inlineStr">
        <is>
          <t>Deflexión Teórica delta_teo (mm)</t>
        </is>
      </c>
      <c r="E3" s="2" t="inlineStr">
        <is>
          <t>Diferencia Absoluta (mm)</t>
        </is>
      </c>
      <c r="F3" s="2" t="inlineStr">
        <is>
          <t>Diferencia Relativa (%)</t>
        </is>
      </c>
      <c r="G3" s="2" t="inlineStr">
        <is>
          <t>Flexibilidad Medida delta_med/P (mm/kN)</t>
        </is>
      </c>
      <c r="H3" s="2" t="inlineStr">
        <is>
          <t>Flexibilidad Teórica delta_teo/P (mm/kN)</t>
        </is>
      </c>
    </row>
    <row r="4">
      <c r="A4" s="14" t="n">
        <v>0</v>
      </c>
      <c r="B4" s="15">
        <f>A4*1000</f>
        <v/>
      </c>
      <c r="C4" s="16" t="n">
        <v>0</v>
      </c>
      <c r="D4" s="17">
        <f>(B4*(Parametros_y_Conversion!$E$4^3))/(48*Parametros_y_Conversion!$E$7*Parametros_y_Conversion!$E$8)</f>
        <v/>
      </c>
      <c r="E4" s="18">
        <f>C4-D4</f>
        <v/>
      </c>
      <c r="F4" s="17">
        <f>IF(A4=0, NA(), (ABS(C4-D4)/D4)*100)</f>
        <v/>
      </c>
      <c r="G4" s="19">
        <f>IF(A4=0, NA(), C4/A4)</f>
        <v/>
      </c>
      <c r="H4" s="19">
        <f>IF(A4=0, NA(), D4/A4)</f>
        <v/>
      </c>
    </row>
    <row r="5">
      <c r="A5" s="14" t="n">
        <v>5</v>
      </c>
      <c r="B5" s="15">
        <f>A5*1000</f>
        <v/>
      </c>
      <c r="C5" s="16" t="n">
        <v>0.26</v>
      </c>
      <c r="D5" s="17">
        <f>(B5*(Parametros_y_Conversion!$E$4^3))/(48*Parametros_y_Conversion!$E$7*Parametros_y_Conversion!$E$8)</f>
        <v/>
      </c>
      <c r="E5" s="18">
        <f>C5-D5</f>
        <v/>
      </c>
      <c r="F5" s="17">
        <f>IF(A5=0, NA(), (ABS(C5-D5)/D5)*100)</f>
        <v/>
      </c>
      <c r="G5" s="19">
        <f>IF(A5=0, NA(), C5/A5)</f>
        <v/>
      </c>
      <c r="H5" s="19">
        <f>IF(A5=0, NA(), D5/A5)</f>
        <v/>
      </c>
    </row>
    <row r="6">
      <c r="A6" s="14" t="n">
        <v>10</v>
      </c>
      <c r="B6" s="15">
        <f>A6*1000</f>
        <v/>
      </c>
      <c r="C6" s="16" t="n">
        <v>0.5</v>
      </c>
      <c r="D6" s="17">
        <f>(B6*(Parametros_y_Conversion!$E$4^3))/(48*Parametros_y_Conversion!$E$7*Parametros_y_Conversion!$E$8)</f>
        <v/>
      </c>
      <c r="E6" s="18">
        <f>C6-D6</f>
        <v/>
      </c>
      <c r="F6" s="17">
        <f>IF(A6=0, NA(), (ABS(C6-D6)/D6)*100)</f>
        <v/>
      </c>
      <c r="G6" s="19">
        <f>IF(A6=0, NA(), C6/A6)</f>
        <v/>
      </c>
      <c r="H6" s="19">
        <f>IF(A6=0, NA(), D6/A6)</f>
        <v/>
      </c>
    </row>
    <row r="7">
      <c r="A7" s="14" t="n">
        <v>15</v>
      </c>
      <c r="B7" s="15">
        <f>A7*1000</f>
        <v/>
      </c>
      <c r="C7" s="16" t="n">
        <v>0.76</v>
      </c>
      <c r="D7" s="17">
        <f>(B7*(Parametros_y_Conversion!$E$4^3))/(48*Parametros_y_Conversion!$E$7*Parametros_y_Conversion!$E$8)</f>
        <v/>
      </c>
      <c r="E7" s="18">
        <f>C7-D7</f>
        <v/>
      </c>
      <c r="F7" s="17">
        <f>IF(A7=0, NA(), (ABS(C7-D7)/D7)*100)</f>
        <v/>
      </c>
      <c r="G7" s="19">
        <f>IF(A7=0, NA(), C7/A7)</f>
        <v/>
      </c>
      <c r="H7" s="19">
        <f>IF(A7=0, NA(), D7/A7)</f>
        <v/>
      </c>
    </row>
    <row r="8">
      <c r="A8" s="14" t="n">
        <v>20</v>
      </c>
      <c r="B8" s="15">
        <f>A8*1000</f>
        <v/>
      </c>
      <c r="C8" s="16" t="n">
        <v>1.01</v>
      </c>
      <c r="D8" s="17">
        <f>(B8*(Parametros_y_Conversion!$E$4^3))/(48*Parametros_y_Conversion!$E$7*Parametros_y_Conversion!$E$8)</f>
        <v/>
      </c>
      <c r="E8" s="18">
        <f>C8-D8</f>
        <v/>
      </c>
      <c r="F8" s="17">
        <f>IF(A8=0, NA(), (ABS(C8-D8)/D8)*100)</f>
        <v/>
      </c>
      <c r="G8" s="19">
        <f>IF(A8=0, NA(), C8/A8)</f>
        <v/>
      </c>
      <c r="H8" s="19">
        <f>IF(A8=0, NA(), D8/A8)</f>
        <v/>
      </c>
    </row>
    <row r="9">
      <c r="A9" s="14" t="n">
        <v>25</v>
      </c>
      <c r="B9" s="15">
        <f>A9*1000</f>
        <v/>
      </c>
      <c r="C9" s="16" t="n">
        <v>1.28</v>
      </c>
      <c r="D9" s="17">
        <f>(B9*(Parametros_y_Conversion!$E$4^3))/(48*Parametros_y_Conversion!$E$7*Parametros_y_Conversion!$E$8)</f>
        <v/>
      </c>
      <c r="E9" s="18">
        <f>C9-D9</f>
        <v/>
      </c>
      <c r="F9" s="17">
        <f>IF(A9=0, NA(), (ABS(C9-D9)/D9)*100)</f>
        <v/>
      </c>
      <c r="G9" s="19">
        <f>IF(A9=0, NA(), C9/A9)</f>
        <v/>
      </c>
      <c r="H9" s="19">
        <f>IF(A9=0, NA(), D9/A9)</f>
        <v/>
      </c>
    </row>
    <row r="10">
      <c r="A10" s="14" t="n">
        <v>30</v>
      </c>
      <c r="B10" s="15">
        <f>A10*1000</f>
        <v/>
      </c>
      <c r="C10" s="16" t="n">
        <v>1.54</v>
      </c>
      <c r="D10" s="17">
        <f>(B10*(Parametros_y_Conversion!$E$4^3))/(48*Parametros_y_Conversion!$E$7*Parametros_y_Conversion!$E$8)</f>
        <v/>
      </c>
      <c r="E10" s="18">
        <f>C10-D10</f>
        <v/>
      </c>
      <c r="F10" s="17">
        <f>IF(A10=0, NA(), (ABS(C10-D10)/D10)*100)</f>
        <v/>
      </c>
      <c r="G10" s="19">
        <f>IF(A10=0, NA(), C10/A10)</f>
        <v/>
      </c>
      <c r="H10" s="19">
        <f>IF(A10=0, NA(), D10/A10)</f>
        <v/>
      </c>
    </row>
    <row r="11">
      <c r="A11" s="14" t="n">
        <v>35</v>
      </c>
      <c r="B11" s="15">
        <f>A11*1000</f>
        <v/>
      </c>
      <c r="C11" s="16" t="n">
        <v>1.77</v>
      </c>
      <c r="D11" s="17">
        <f>(B11*(Parametros_y_Conversion!$E$4^3))/(48*Parametros_y_Conversion!$E$7*Parametros_y_Conversion!$E$8)</f>
        <v/>
      </c>
      <c r="E11" s="18">
        <f>C11-D11</f>
        <v/>
      </c>
      <c r="F11" s="17">
        <f>IF(A11=0, NA(), (ABS(C11-D11)/D11)*100)</f>
        <v/>
      </c>
      <c r="G11" s="19">
        <f>IF(A11=0, NA(), C11/A11)</f>
        <v/>
      </c>
      <c r="H11" s="19">
        <f>IF(A11=0, NA(), D11/A11)</f>
        <v/>
      </c>
    </row>
    <row r="12">
      <c r="A12" s="14" t="n">
        <v>40</v>
      </c>
      <c r="B12" s="15">
        <f>A12*1000</f>
        <v/>
      </c>
      <c r="C12" s="16" t="n">
        <v>2.05</v>
      </c>
      <c r="D12" s="17">
        <f>(B12*(Parametros_y_Conversion!$E$4^3))/(48*Parametros_y_Conversion!$E$7*Parametros_y_Conversion!$E$8)</f>
        <v/>
      </c>
      <c r="E12" s="18">
        <f>C12-D12</f>
        <v/>
      </c>
      <c r="F12" s="17">
        <f>IF(A12=0, NA(), (ABS(C12-D12)/D12)*100)</f>
        <v/>
      </c>
      <c r="G12" s="19">
        <f>IF(A12=0, NA(), C12/A12)</f>
        <v/>
      </c>
      <c r="H12" s="19">
        <f>IF(A12=0, NA(), D12/A12)</f>
        <v/>
      </c>
    </row>
    <row r="13"/>
    <row r="14">
      <c r="D14" s="20" t="inlineStr">
        <is>
          <t>Promedio (para P &gt; 0)</t>
        </is>
      </c>
      <c r="E14" s="21">
        <f>AVERAGE(E5:E12)</f>
        <v/>
      </c>
      <c r="F14" s="22">
        <f>AVERAGE(F5:F12)</f>
        <v/>
      </c>
      <c r="G14" s="23">
        <f>AVERAGE(G5:G12)</f>
        <v/>
      </c>
      <c r="H14" s="23">
        <f>AVERAGE(H5:H12)</f>
        <v/>
      </c>
    </row>
    <row r="15">
      <c r="D15" s="20" t="inlineStr">
        <is>
          <t>Mediana (para P &gt; 0)</t>
        </is>
      </c>
      <c r="E15" s="21">
        <f>MEDIAN(E5:E12)</f>
        <v/>
      </c>
      <c r="F15" s="22">
        <f>MEDIAN(F5:F12)</f>
        <v/>
      </c>
      <c r="G15" s="23">
        <f>MEDIAN(G5:G12)</f>
        <v/>
      </c>
      <c r="H15" s="23">
        <f>MEDIAN(H5:H12)</f>
        <v/>
      </c>
    </row>
    <row r="16">
      <c r="D16" s="20" t="inlineStr">
        <is>
          <t>Mínimo (para P &gt; 0)</t>
        </is>
      </c>
      <c r="E16" s="21">
        <f>MIN(E5:E12)</f>
        <v/>
      </c>
      <c r="F16" s="22">
        <f>MIN(F5:F12)</f>
        <v/>
      </c>
      <c r="G16" s="23">
        <f>MIN(G5:G12)</f>
        <v/>
      </c>
      <c r="H16" s="23">
        <f>MIN(H5:H12)</f>
        <v/>
      </c>
    </row>
    <row r="17">
      <c r="D17" s="20" t="inlineStr">
        <is>
          <t>Máximo (para P &gt; 0)</t>
        </is>
      </c>
      <c r="E17" s="21">
        <f>MAX(E5:E12)</f>
        <v/>
      </c>
      <c r="F17" s="22">
        <f>MAX(F5:F12)</f>
        <v/>
      </c>
      <c r="G17" s="23">
        <f>MAX(G5:G12)</f>
        <v/>
      </c>
      <c r="H17" s="23">
        <f>MAX(H5:H12)</f>
        <v/>
      </c>
    </row>
    <row r="18">
      <c r="D18" s="20" t="inlineStr">
        <is>
          <t>Desviación Estándar (P &gt; 0)</t>
        </is>
      </c>
      <c r="E18" s="21">
        <f>STDEV.S(E5:E12)</f>
        <v/>
      </c>
      <c r="F18" s="22">
        <f>STDEV.S(F5:F12)</f>
        <v/>
      </c>
      <c r="G18" s="23">
        <f>STDEV.S(G5:G12)</f>
        <v/>
      </c>
      <c r="H18" s="23">
        <f>STDEV.S(H5:H12)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79" customWidth="1" min="1" max="1"/>
    <col width="41" customWidth="1" min="2" max="2"/>
    <col width="14" customWidth="1" min="3" max="3"/>
    <col width="71" customWidth="1" min="4" max="4"/>
  </cols>
  <sheetData>
    <row r="1">
      <c r="A1" s="1" t="inlineStr">
        <is>
          <t>VERIFICACIONES INDEPENDIENTES DEL MODELO (DIMENSIONAL, FILA MANUAL Y TIMOSHENKO)</t>
        </is>
      </c>
    </row>
    <row r="2"/>
    <row r="3">
      <c r="A3" s="24" t="inlineStr">
        <is>
          <t>1. Verificación de Homogeneidad Dimensional</t>
        </is>
      </c>
      <c r="B3" s="24" t="inlineStr"/>
      <c r="C3" s="24" t="inlineStr"/>
      <c r="D3" s="24" t="inlineStr"/>
    </row>
    <row r="4">
      <c r="A4" s="5" t="inlineStr">
        <is>
          <t>Ecuación analizada:</t>
        </is>
      </c>
      <c r="B4" s="5" t="inlineStr">
        <is>
          <t>delta_teo = (P * L^3) / (48 * E * I)</t>
        </is>
      </c>
      <c r="C4" s="5" t="inlineStr"/>
      <c r="D4" s="5" t="inlineStr"/>
    </row>
    <row r="5">
      <c r="A5" s="5" t="inlineStr">
        <is>
          <t>Numerador [P * L^3]:</t>
        </is>
      </c>
      <c r="B5" s="5" t="inlineStr">
        <is>
          <t>[N] * [mm]^3 = [N * mm^3]</t>
        </is>
      </c>
      <c r="C5" s="5" t="inlineStr"/>
      <c r="D5" s="5" t="inlineStr"/>
    </row>
    <row r="6">
      <c r="A6" s="5" t="inlineStr">
        <is>
          <t>Denominador [E * I]:</t>
        </is>
      </c>
      <c r="B6" s="5" t="inlineStr">
        <is>
          <t>[N / mm^2] * [mm^4] = [N * mm^2]</t>
        </is>
      </c>
      <c r="C6" s="5" t="inlineStr"/>
      <c r="D6" s="5" t="inlineStr"/>
    </row>
    <row r="7">
      <c r="A7" s="5" t="inlineStr">
        <is>
          <t>Cociente resultante:</t>
        </is>
      </c>
      <c r="B7" s="5" t="inlineStr">
        <is>
          <t>[N * mm^3] / [N * mm^2] = [mm]</t>
        </is>
      </c>
      <c r="C7" s="5" t="inlineStr">
        <is>
          <t>CUMPLE</t>
        </is>
      </c>
      <c r="D7" s="5" t="inlineStr">
        <is>
          <t>Unidad de longitud consistente con datos_viga.csv</t>
        </is>
      </c>
    </row>
    <row r="8">
      <c r="A8" t="inlineStr"/>
      <c r="B8" t="inlineStr"/>
      <c r="C8" t="inlineStr"/>
      <c r="D8" t="inlineStr"/>
    </row>
    <row r="9">
      <c r="A9" s="24" t="inlineStr">
        <is>
          <t>2. Comprobación Independiente de una Fila de Cálculo (Escalón P = 20 kN)</t>
        </is>
      </c>
      <c r="B9" s="25" t="inlineStr"/>
      <c r="C9" s="24" t="inlineStr"/>
      <c r="D9" s="24" t="inlineStr"/>
    </row>
    <row r="10">
      <c r="A10" s="5" t="inlineStr">
        <is>
          <t>Carga puntual P (N):</t>
        </is>
      </c>
      <c r="B10" s="26" t="n">
        <v>20000</v>
      </c>
      <c r="C10" s="5" t="inlineStr">
        <is>
          <t>N</t>
        </is>
      </c>
      <c r="D10" s="5" t="inlineStr">
        <is>
          <t>Valor explícito para P = 20 kN</t>
        </is>
      </c>
    </row>
    <row r="11">
      <c r="A11" s="5" t="inlineStr">
        <is>
          <t>Numerador P * L^3 (N*mm^3):</t>
        </is>
      </c>
      <c r="B11" s="27">
        <f>B8*(4000^3)</f>
        <v/>
      </c>
      <c r="C11" s="5" t="inlineStr">
        <is>
          <t>N*mm^3</t>
        </is>
      </c>
      <c r="D11" s="5" t="inlineStr">
        <is>
          <t>20000 * (4000)^3 = 1.28E+15</t>
        </is>
      </c>
    </row>
    <row r="12">
      <c r="A12" s="5" t="inlineStr">
        <is>
          <t>Denominador 48 * E * I (N*mm^2):</t>
        </is>
      </c>
      <c r="B12" s="27">
        <f>48*25000*(200*(400^3)/12)</f>
        <v/>
      </c>
      <c r="C12" s="5" t="inlineStr">
        <is>
          <t>N*mm^2</t>
        </is>
      </c>
      <c r="D12" s="5" t="inlineStr">
        <is>
          <t>48 * 25000 * 1066666666.67 = 1.28E+15</t>
        </is>
      </c>
    </row>
    <row r="13">
      <c r="A13" s="5" t="inlineStr">
        <is>
          <t>Deflexión calculada manualmente (mm):</t>
        </is>
      </c>
      <c r="B13" s="28">
        <f>B9/B10</f>
        <v/>
      </c>
      <c r="C13" s="5" t="inlineStr">
        <is>
          <t>mm</t>
        </is>
      </c>
      <c r="D13" s="5" t="inlineStr">
        <is>
          <t>Cociente directo independiente</t>
        </is>
      </c>
    </row>
    <row r="14">
      <c r="A14" s="5" t="inlineStr">
        <is>
          <t>Valor en hoja Calculos_Deflexion (mm):</t>
        </is>
      </c>
      <c r="B14" s="5">
        <f>Calculos_Deflexion!D8</f>
        <v/>
      </c>
      <c r="C14" s="5" t="inlineStr">
        <is>
          <t>mm</t>
        </is>
      </c>
      <c r="D14" s="5" t="inlineStr">
        <is>
          <t>Referencia a fila P = 20 kN</t>
        </is>
      </c>
    </row>
    <row r="15">
      <c r="A15" s="5" t="inlineStr">
        <is>
          <t>Diferencia absoluta de verificación:</t>
        </is>
      </c>
      <c r="B15" s="5">
        <f>ABS(B11-B12)</f>
        <v/>
      </c>
      <c r="C15" s="5" t="inlineStr">
        <is>
          <t>mm</t>
        </is>
      </c>
      <c r="D15" s="5" t="inlineStr">
        <is>
          <t>Cero error de referencia celular</t>
        </is>
      </c>
    </row>
    <row r="16">
      <c r="A16" t="inlineStr"/>
      <c r="B16" t="inlineStr"/>
      <c r="C16" t="inlineStr"/>
      <c r="D16" t="inlineStr"/>
    </row>
    <row r="17">
      <c r="A17" s="24" t="inlineStr">
        <is>
          <t>3. Verificación Física Adicional: Efecto de Corte de Timoshenko (L/h = 10)</t>
        </is>
      </c>
      <c r="B17" s="24" t="inlineStr"/>
      <c r="C17" s="24" t="inlineStr"/>
      <c r="D17" s="24" t="inlineStr"/>
    </row>
    <row r="18">
      <c r="A18" s="5" t="inlineStr">
        <is>
          <t>Relación de esbeltez L/h:</t>
        </is>
      </c>
      <c r="B18" s="29">
        <f>Parametros_y_Conversion!E4/Parametros_y_Conversion!E6</f>
        <v/>
      </c>
      <c r="C18" s="5" t="inlineStr">
        <is>
          <t>-</t>
        </is>
      </c>
      <c r="D18" s="5" t="inlineStr">
        <is>
          <t>Esbeltez moderada (L/h = 10)</t>
        </is>
      </c>
    </row>
    <row r="19">
      <c r="A19" s="5" t="inlineStr">
        <is>
          <t>Coeficiente de Poisson asumido (nu):</t>
        </is>
      </c>
      <c r="B19" s="29" t="n">
        <v>0.2</v>
      </c>
      <c r="C19" s="5" t="inlineStr">
        <is>
          <t>-</t>
        </is>
      </c>
      <c r="D19" s="5" t="inlineStr">
        <is>
          <t>Valor típico para hormigón (E = 25 GPa)</t>
        </is>
      </c>
    </row>
    <row r="20">
      <c r="A20" s="5" t="inlineStr">
        <is>
          <t>Módulo de corte G = E / (2*(1+nu)):</t>
        </is>
      </c>
      <c r="B20" s="30">
        <f>Parametros_y_Conversion!E7/(2*(1+B17))</f>
        <v/>
      </c>
      <c r="C20" s="5" t="inlineStr">
        <is>
          <t>N/mm^2</t>
        </is>
      </c>
      <c r="D20" s="5" t="inlineStr">
        <is>
          <t>G en MPa</t>
        </is>
      </c>
    </row>
    <row r="21">
      <c r="A21" s="5" t="inlineStr">
        <is>
          <t>Área efectiva de corte As = (5/6)*b*h:</t>
        </is>
      </c>
      <c r="B21" s="30">
        <f>(5/6)*Parametros_y_Conversion!E5*Parametros_y_Conversion!E6</f>
        <v/>
      </c>
      <c r="C21" s="5" t="inlineStr">
        <is>
          <t>mm^2</t>
        </is>
      </c>
      <c r="D21" s="5" t="inlineStr">
        <is>
          <t>Factor de forma rectangular kappa = 5/6</t>
        </is>
      </c>
    </row>
    <row r="22">
      <c r="A22" s="5" t="inlineStr">
        <is>
          <t>Flexibilidad por corte f_corte = L/(4*G*As):</t>
        </is>
      </c>
      <c r="B22" s="5">
        <f>(1000*Parametros_y_Conversion!E4)/(4*B18*B19)</f>
        <v/>
      </c>
      <c r="C22" s="5" t="inlineStr">
        <is>
          <t>mm/kN</t>
        </is>
      </c>
      <c r="D22" s="5" t="inlineStr">
        <is>
          <t>Aporte adicional por deformación angular de corte</t>
        </is>
      </c>
    </row>
    <row r="23">
      <c r="A23" s="5" t="inlineStr">
        <is>
          <t>Flexibilidad total Timoshenko (f_flex + f_corte):</t>
        </is>
      </c>
      <c r="B23" s="5">
        <f>Calculos_Deflexion!H5+B20</f>
        <v/>
      </c>
      <c r="C23" s="5" t="inlineStr">
        <is>
          <t>mm/kN</t>
        </is>
      </c>
      <c r="D23" s="5" t="inlineStr">
        <is>
          <t>Explica por qué delta_med promedio (0.05094 mm/kN) &gt; 0.05000 mm/kN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2026-10-05T23:15:53Z</dcterms:created>
  <dcterms:modified xmlns:dcterms="http://purl.org/dc/terms/" xmlns:xsi="http://www.w3.org/2001/XMLSchema-instance" xsi:type="dcterms:W3CDTF">2026-10-05T23:15:53Z</dcterms:modified>
</cp:coreProperties>
</file>